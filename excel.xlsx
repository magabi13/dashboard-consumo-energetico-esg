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29FCB44E77FCE4/Documentos/"/>
    </mc:Choice>
  </mc:AlternateContent>
  <xr:revisionPtr revIDLastSave="0" documentId="8_{855D0149-1E28-472F-A19D-F1E3C656970C}" xr6:coauthVersionLast="47" xr6:coauthVersionMax="47" xr10:uidLastSave="{00000000-0000-0000-0000-000000000000}"/>
  <bookViews>
    <workbookView xWindow="-108" yWindow="-108" windowWidth="23256" windowHeight="12456" activeTab="1" xr2:uid="{229C27A0-58C7-4976-B767-5B3D80A2EE33}"/>
  </bookViews>
  <sheets>
    <sheet name="Tarifas_e_Setores" sheetId="1" r:id="rId1"/>
    <sheet name="Resumo_Setores" sheetId="3" r:id="rId2"/>
    <sheet name="Leituras" sheetId="2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2" i="2"/>
  <c r="F3" i="2"/>
  <c r="F4" i="2"/>
  <c r="F5" i="2"/>
  <c r="F6" i="2"/>
  <c r="F7" i="2"/>
  <c r="D3" i="2"/>
  <c r="D4" i="2"/>
  <c r="D5" i="2"/>
  <c r="D6" i="2"/>
  <c r="D7" i="2"/>
  <c r="F2" i="2"/>
  <c r="D2" i="2"/>
</calcChain>
</file>

<file path=xl/sharedStrings.xml><?xml version="1.0" encoding="utf-8"?>
<sst xmlns="http://schemas.openxmlformats.org/spreadsheetml/2006/main" count="22" uniqueCount="18">
  <si>
    <t>ID_setor</t>
  </si>
  <si>
    <t>Nome_setor</t>
  </si>
  <si>
    <t>Custo_KWH_R$</t>
  </si>
  <si>
    <t>Produção</t>
  </si>
  <si>
    <t>Escritório</t>
  </si>
  <si>
    <t>Depósito</t>
  </si>
  <si>
    <t>Refeitório</t>
  </si>
  <si>
    <t>ID_Leitura</t>
  </si>
  <si>
    <t>Data</t>
  </si>
  <si>
    <t>ID_Setor</t>
  </si>
  <si>
    <t>Nome_Setor</t>
  </si>
  <si>
    <t>Consumo_kWh</t>
  </si>
  <si>
    <t>Custo_kWh</t>
  </si>
  <si>
    <t>Custo_Total_R$</t>
  </si>
  <si>
    <t>Rótulos de Linha</t>
  </si>
  <si>
    <t>Total Geral</t>
  </si>
  <si>
    <t>Soma de Consumo_kWh</t>
  </si>
  <si>
    <t>Soma de Custo_Total_R$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</si>
</sst>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8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1">
    <cellStyle name="Normal" xfId="0" builtinId="0"/>
  </cellStyles>
  <dxfs count="3">
    <dxf>
      <numFmt numFmtId="35" formatCode="_-* #,##0.00_-;\-* #,##0.00_-;_-* &quot;-&quot;??_-;_-@_-"/>
    </dxf>
    <dxf>
      <numFmt numFmtId="19" formatCode="dd/mm/yyyy"/>
    </dxf>
    <dxf>
      <numFmt numFmtId="168" formatCode="&quot;R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[excel.xlsx]Resumo_Setores!Tabela dinâmica1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Resumo_Setores!$B$3</c:f>
              <c:strCache>
                <c:ptCount val="1"/>
                <c:pt idx="0">
                  <c:v>Soma de Consumo_kWh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Resumo_Setores!$A$4:$A$8</c:f>
              <c:strCache>
                <c:ptCount val="4"/>
                <c:pt idx="0">
                  <c:v>Depósito</c:v>
                </c:pt>
                <c:pt idx="1">
                  <c:v>Escritório</c:v>
                </c:pt>
                <c:pt idx="2">
                  <c:v>Produção</c:v>
                </c:pt>
                <c:pt idx="3">
                  <c:v>Refeitório</c:v>
                </c:pt>
              </c:strCache>
            </c:strRef>
          </c:cat>
          <c:val>
            <c:numRef>
              <c:f>Resumo_Setores!$B$4:$B$8</c:f>
              <c:numCache>
                <c:formatCode>_(* #,##0.00_);_(* \(#,##0.00\);_(* "-"??_);_(@_)</c:formatCode>
                <c:ptCount val="4"/>
                <c:pt idx="0">
                  <c:v>200</c:v>
                </c:pt>
                <c:pt idx="1">
                  <c:v>235</c:v>
                </c:pt>
                <c:pt idx="2">
                  <c:v>1050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E-4912-9FB5-9EFF6375E02B}"/>
            </c:ext>
          </c:extLst>
        </c:ser>
        <c:ser>
          <c:idx val="1"/>
          <c:order val="1"/>
          <c:tx>
            <c:strRef>
              <c:f>Resumo_Setores!$C$3</c:f>
              <c:strCache>
                <c:ptCount val="1"/>
                <c:pt idx="0">
                  <c:v>Soma de Custo_Total_R$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Resumo_Setores!$A$4:$A$8</c:f>
              <c:strCache>
                <c:ptCount val="4"/>
                <c:pt idx="0">
                  <c:v>Depósito</c:v>
                </c:pt>
                <c:pt idx="1">
                  <c:v>Escritório</c:v>
                </c:pt>
                <c:pt idx="2">
                  <c:v>Produção</c:v>
                </c:pt>
                <c:pt idx="3">
                  <c:v>Refeitório</c:v>
                </c:pt>
              </c:strCache>
            </c:strRef>
          </c:cat>
          <c:val>
            <c:numRef>
              <c:f>Resumo_Setores!$C$4:$C$8</c:f>
              <c:numCache>
                <c:formatCode>"R$"\ #,##0.00</c:formatCode>
                <c:ptCount val="4"/>
                <c:pt idx="0">
                  <c:v>130</c:v>
                </c:pt>
                <c:pt idx="1">
                  <c:v>141</c:v>
                </c:pt>
                <c:pt idx="2">
                  <c:v>787.5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AE-4912-9FB5-9EFF6375E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5500735"/>
        <c:axId val="1644318223"/>
      </c:barChart>
      <c:catAx>
        <c:axId val="178550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4318223"/>
        <c:crosses val="autoZero"/>
        <c:auto val="1"/>
        <c:lblAlgn val="ctr"/>
        <c:lblOffset val="100"/>
        <c:noMultiLvlLbl val="0"/>
      </c:catAx>
      <c:valAx>
        <c:axId val="164431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550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38100</xdr:rowOff>
    </xdr:from>
    <xdr:to>
      <xdr:col>10</xdr:col>
      <xdr:colOff>495300</xdr:colOff>
      <xdr:row>16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20AF3B-E376-3D24-0049-73E8DBD88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Gabriella Guimarães" refreshedDate="46254.783094212966" createdVersion="8" refreshedVersion="8" minRefreshableVersion="3" recordCount="6" xr:uid="{664D368F-C94E-4C83-BBAE-71927F97CF04}">
  <cacheSource type="worksheet">
    <worksheetSource name="Tabela4"/>
  </cacheSource>
  <cacheFields count="7">
    <cacheField name="ID_Leitura" numFmtId="0">
      <sharedItems containsSemiMixedTypes="0" containsString="0" containsNumber="1" containsInteger="1" minValue="101" maxValue="106"/>
    </cacheField>
    <cacheField name="Data" numFmtId="14">
      <sharedItems containsSemiMixedTypes="0" containsNonDate="0" containsDate="1" containsString="0" minDate="2026-03-01T00:00:00" maxDate="2026-03-03T00:00:00"/>
    </cacheField>
    <cacheField name="ID_Setor" numFmtId="0">
      <sharedItems containsSemiMixedTypes="0" containsString="0" containsNumber="1" containsInteger="1" minValue="1" maxValue="4"/>
    </cacheField>
    <cacheField name="Nome_Setor" numFmtId="0">
      <sharedItems count="4">
        <s v="Produção"/>
        <s v="Escritório"/>
        <s v="Depósito"/>
        <s v="Refeitório"/>
      </sharedItems>
    </cacheField>
    <cacheField name="Consumo_kWh" numFmtId="0">
      <sharedItems containsSemiMixedTypes="0" containsString="0" containsNumber="1" containsInteger="1" minValue="80" maxValue="600"/>
    </cacheField>
    <cacheField name="Custo_kWh" numFmtId="168">
      <sharedItems containsSemiMixedTypes="0" containsString="0" containsNumber="1" minValue="0.55000000000000004" maxValue="0.75"/>
    </cacheField>
    <cacheField name="Custo_Total_R$" numFmtId="168">
      <sharedItems containsSemiMixedTypes="0" containsString="0" containsNumber="1" minValue="44" maxValue="4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01"/>
    <d v="2026-03-01T00:00:00"/>
    <n v="1"/>
    <x v="0"/>
    <n v="450"/>
    <n v="0.75"/>
    <n v="337.5"/>
  </r>
  <r>
    <n v="102"/>
    <d v="2026-03-01T00:00:00"/>
    <n v="2"/>
    <x v="1"/>
    <n v="120"/>
    <n v="0.6"/>
    <n v="72"/>
  </r>
  <r>
    <n v="103"/>
    <d v="2026-03-01T00:00:00"/>
    <n v="3"/>
    <x v="2"/>
    <n v="200"/>
    <n v="0.65"/>
    <n v="130"/>
  </r>
  <r>
    <n v="104"/>
    <d v="2026-03-01T00:00:00"/>
    <n v="4"/>
    <x v="3"/>
    <n v="80"/>
    <n v="0.55000000000000004"/>
    <n v="44"/>
  </r>
  <r>
    <n v="105"/>
    <d v="2026-03-02T00:00:00"/>
    <n v="1"/>
    <x v="0"/>
    <n v="600"/>
    <n v="0.75"/>
    <n v="450"/>
  </r>
  <r>
    <n v="106"/>
    <d v="2026-03-02T00:00:00"/>
    <n v="2"/>
    <x v="1"/>
    <n v="115"/>
    <n v="0.6"/>
    <n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FBB0D-8F03-4991-B70D-8626CFE0D709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C8" firstHeaderRow="0" firstDataRow="1" firstDataCol="1"/>
  <pivotFields count="7">
    <pivotField showAll="0"/>
    <pivotField numFmtId="14" showAll="0"/>
    <pivotField showAll="0"/>
    <pivotField axis="axisRow" showAll="0">
      <items count="5">
        <item x="2"/>
        <item x="1"/>
        <item x="0"/>
        <item x="3"/>
        <item t="default"/>
      </items>
    </pivotField>
    <pivotField dataField="1" showAll="0"/>
    <pivotField numFmtId="168" showAll="0"/>
    <pivotField dataField="1" numFmtId="168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Consumo_kWh" fld="4" baseField="0" baseItem="0" numFmtId="43"/>
    <dataField name="Soma de Custo_Total_R$" fld="6" baseField="0" baseItem="0" numFmtId="168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BBD5CD-E42F-4F31-BEDF-F8268A768FDA}" name="tb_CadastroSetores" displayName="tb_CadastroSetores" ref="A1:C5" totalsRowShown="0">
  <autoFilter ref="A1:C5" xr:uid="{B9BBD5CD-E42F-4F31-BEDF-F8268A768FDA}"/>
  <tableColumns count="3">
    <tableColumn id="1" xr3:uid="{E67D6E66-461E-4D13-AE52-34E3A01A5082}" name="ID_setor"/>
    <tableColumn id="2" xr3:uid="{D5799090-6007-49F0-9D68-A32B75D5276C}" name="Nome_setor"/>
    <tableColumn id="3" xr3:uid="{829ED167-544E-4888-8948-0A899760D959}" name="Custo_KWH_R$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CC0FCA-D445-4065-8E13-22921DB9CC16}" name="Tabela4" displayName="Tabela4" ref="A1:G7" totalsRowShown="0">
  <autoFilter ref="A1:G7" xr:uid="{F4CC0FCA-D445-4065-8E13-22921DB9CC16}"/>
  <tableColumns count="7">
    <tableColumn id="1" xr3:uid="{16A8FD0B-426E-4DAE-8ECA-2840A1306E87}" name="ID_Leitura"/>
    <tableColumn id="2" xr3:uid="{A727A38C-EFD9-47C2-9204-9C5407B7ED5C}" name="Data" dataDxfId="1"/>
    <tableColumn id="3" xr3:uid="{5CDDFB01-003D-407C-A440-65585CF22DA7}" name="ID_Setor"/>
    <tableColumn id="4" xr3:uid="{8AFC864A-1037-42E3-A56E-D31F3C8C976D}" name="Nome_Setor">
      <calculatedColumnFormula>VLOOKUP(C2, tb_CadastroSetores[], 2, FALSE)</calculatedColumnFormula>
    </tableColumn>
    <tableColumn id="5" xr3:uid="{F2619F5A-7A8C-4DF7-973D-B97F9EE5E1A7}" name="Consumo_kWh"/>
    <tableColumn id="6" xr3:uid="{5E481B83-B40E-4EE9-BF2D-09D913A0F007}" name="Custo_kWh">
      <calculatedColumnFormula>VLOOKUP(C2, tb_CadastroSetores[], 3, FALSE)</calculatedColumnFormula>
    </tableColumn>
    <tableColumn id="7" xr3:uid="{A26CD320-FD2B-4802-AAAB-6F5A95AED59C}" name="Custo_Total_R$">
      <calculatedColumnFormula>E2*F2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F1C3-A827-469C-9ECC-D4FA18BD1F97}">
  <dimension ref="A1:C5"/>
  <sheetViews>
    <sheetView workbookViewId="0">
      <selection activeCell="B2" sqref="B2"/>
    </sheetView>
  </sheetViews>
  <sheetFormatPr defaultRowHeight="14.4" x14ac:dyDescent="0.3"/>
  <cols>
    <col min="1" max="1" width="9.6640625" customWidth="1"/>
    <col min="2" max="2" width="12.88671875" customWidth="1"/>
    <col min="3" max="3" width="15.44140625" style="1" customWidth="1"/>
    <col min="4" max="10" width="9.5546875" customWidth="1"/>
    <col min="11" max="11" width="10.5546875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>
        <v>1</v>
      </c>
      <c r="B2" t="s">
        <v>3</v>
      </c>
      <c r="C2" s="1">
        <v>0.75</v>
      </c>
    </row>
    <row r="3" spans="1:3" x14ac:dyDescent="0.3">
      <c r="A3">
        <v>2</v>
      </c>
      <c r="B3" t="s">
        <v>4</v>
      </c>
      <c r="C3" s="1">
        <v>0.6</v>
      </c>
    </row>
    <row r="4" spans="1:3" x14ac:dyDescent="0.3">
      <c r="A4">
        <v>3</v>
      </c>
      <c r="B4" t="s">
        <v>5</v>
      </c>
      <c r="C4" s="1">
        <v>0.65</v>
      </c>
    </row>
    <row r="5" spans="1:3" x14ac:dyDescent="0.3">
      <c r="A5">
        <v>4</v>
      </c>
      <c r="B5" t="s">
        <v>6</v>
      </c>
      <c r="C5" s="1">
        <v>0.55000000000000004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8EFA-4A09-4108-8835-643602C260C4}">
  <dimension ref="A3:C8"/>
  <sheetViews>
    <sheetView tabSelected="1" workbookViewId="0">
      <selection activeCell="R17" sqref="R17"/>
    </sheetView>
  </sheetViews>
  <sheetFormatPr defaultRowHeight="14.4" x14ac:dyDescent="0.3"/>
  <cols>
    <col min="1" max="1" width="16.77734375" bestFit="1" customWidth="1"/>
    <col min="2" max="2" width="21" bestFit="1" customWidth="1"/>
    <col min="3" max="3" width="21.44140625" bestFit="1" customWidth="1"/>
  </cols>
  <sheetData>
    <row r="3" spans="1:3" x14ac:dyDescent="0.3">
      <c r="A3" s="3" t="s">
        <v>14</v>
      </c>
      <c r="B3" t="s">
        <v>16</v>
      </c>
      <c r="C3" t="s">
        <v>17</v>
      </c>
    </row>
    <row r="4" spans="1:3" x14ac:dyDescent="0.3">
      <c r="A4" s="4" t="s">
        <v>5</v>
      </c>
      <c r="B4" s="5">
        <v>200</v>
      </c>
      <c r="C4" s="1">
        <v>130</v>
      </c>
    </row>
    <row r="5" spans="1:3" x14ac:dyDescent="0.3">
      <c r="A5" s="4" t="s">
        <v>4</v>
      </c>
      <c r="B5" s="5">
        <v>235</v>
      </c>
      <c r="C5" s="1">
        <v>141</v>
      </c>
    </row>
    <row r="6" spans="1:3" x14ac:dyDescent="0.3">
      <c r="A6" s="4" t="s">
        <v>3</v>
      </c>
      <c r="B6" s="5">
        <v>1050</v>
      </c>
      <c r="C6" s="1">
        <v>787.5</v>
      </c>
    </row>
    <row r="7" spans="1:3" x14ac:dyDescent="0.3">
      <c r="A7" s="4" t="s">
        <v>6</v>
      </c>
      <c r="B7" s="5">
        <v>80</v>
      </c>
      <c r="C7" s="1">
        <v>44</v>
      </c>
    </row>
    <row r="8" spans="1:3" x14ac:dyDescent="0.3">
      <c r="A8" s="4" t="s">
        <v>15</v>
      </c>
      <c r="B8" s="5">
        <v>1565</v>
      </c>
      <c r="C8" s="1">
        <v>1102.5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5E25-6AC5-44B1-B24F-A4B97CED2500}">
  <dimension ref="A1:G7"/>
  <sheetViews>
    <sheetView workbookViewId="0">
      <selection activeCell="A2" sqref="A2"/>
    </sheetView>
  </sheetViews>
  <sheetFormatPr defaultRowHeight="14.4" x14ac:dyDescent="0.3"/>
  <cols>
    <col min="1" max="1" width="11.21875" customWidth="1"/>
    <col min="2" max="2" width="10.33203125" bestFit="1" customWidth="1"/>
    <col min="3" max="3" width="9.88671875" customWidth="1"/>
    <col min="4" max="4" width="13.109375" customWidth="1"/>
    <col min="5" max="5" width="15.109375" customWidth="1"/>
    <col min="6" max="6" width="12.109375" customWidth="1"/>
    <col min="7" max="7" width="15.44140625" customWidth="1"/>
  </cols>
  <sheetData>
    <row r="1" spans="1:7" x14ac:dyDescent="0.3">
      <c r="A1" t="s">
        <v>7</v>
      </c>
      <c r="B1" s="2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3">
      <c r="A2">
        <v>101</v>
      </c>
      <c r="B2" s="2">
        <v>46082</v>
      </c>
      <c r="C2">
        <v>1</v>
      </c>
      <c r="D2" t="str">
        <f>VLOOKUP(C2, tb_CadastroSetores[], 2, FALSE)</f>
        <v>Produção</v>
      </c>
      <c r="E2">
        <v>450</v>
      </c>
      <c r="F2" s="1">
        <f>VLOOKUP(C2, tb_CadastroSetores[], 3, FALSE)</f>
        <v>0.75</v>
      </c>
      <c r="G2" s="1">
        <f>E2*F2</f>
        <v>337.5</v>
      </c>
    </row>
    <row r="3" spans="1:7" x14ac:dyDescent="0.3">
      <c r="A3">
        <v>102</v>
      </c>
      <c r="B3" s="2">
        <v>46082</v>
      </c>
      <c r="C3">
        <v>2</v>
      </c>
      <c r="D3" t="str">
        <f>VLOOKUP(C3, tb_CadastroSetores[], 2, FALSE)</f>
        <v>Escritório</v>
      </c>
      <c r="E3">
        <v>120</v>
      </c>
      <c r="F3" s="1">
        <f>VLOOKUP(C3, tb_CadastroSetores[], 3, FALSE)</f>
        <v>0.6</v>
      </c>
      <c r="G3" s="1">
        <f t="shared" ref="G3:G7" si="0">E3*F3</f>
        <v>72</v>
      </c>
    </row>
    <row r="4" spans="1:7" x14ac:dyDescent="0.3">
      <c r="A4">
        <v>103</v>
      </c>
      <c r="B4" s="2">
        <v>46082</v>
      </c>
      <c r="C4">
        <v>3</v>
      </c>
      <c r="D4" t="str">
        <f>VLOOKUP(C4, tb_CadastroSetores[], 2, FALSE)</f>
        <v>Depósito</v>
      </c>
      <c r="E4">
        <v>200</v>
      </c>
      <c r="F4" s="1">
        <f>VLOOKUP(C4, tb_CadastroSetores[], 3, FALSE)</f>
        <v>0.65</v>
      </c>
      <c r="G4" s="1">
        <f t="shared" si="0"/>
        <v>130</v>
      </c>
    </row>
    <row r="5" spans="1:7" x14ac:dyDescent="0.3">
      <c r="A5">
        <v>104</v>
      </c>
      <c r="B5" s="2">
        <v>46082</v>
      </c>
      <c r="C5">
        <v>4</v>
      </c>
      <c r="D5" t="str">
        <f>VLOOKUP(C5, tb_CadastroSetores[], 2, FALSE)</f>
        <v>Refeitório</v>
      </c>
      <c r="E5">
        <v>80</v>
      </c>
      <c r="F5" s="1">
        <f>VLOOKUP(C5, tb_CadastroSetores[], 3, FALSE)</f>
        <v>0.55000000000000004</v>
      </c>
      <c r="G5" s="1">
        <f t="shared" si="0"/>
        <v>44</v>
      </c>
    </row>
    <row r="6" spans="1:7" x14ac:dyDescent="0.3">
      <c r="A6">
        <v>105</v>
      </c>
      <c r="B6" s="2">
        <v>46083</v>
      </c>
      <c r="C6">
        <v>1</v>
      </c>
      <c r="D6" t="str">
        <f>VLOOKUP(C6, tb_CadastroSetores[], 2, FALSE)</f>
        <v>Produção</v>
      </c>
      <c r="E6">
        <v>600</v>
      </c>
      <c r="F6" s="1">
        <f>VLOOKUP(C6, tb_CadastroSetores[], 3, FALSE)</f>
        <v>0.75</v>
      </c>
      <c r="G6" s="1">
        <f t="shared" si="0"/>
        <v>450</v>
      </c>
    </row>
    <row r="7" spans="1:7" x14ac:dyDescent="0.3">
      <c r="A7">
        <v>106</v>
      </c>
      <c r="B7" s="2">
        <v>46083</v>
      </c>
      <c r="C7">
        <v>2</v>
      </c>
      <c r="D7" t="str">
        <f>VLOOKUP(C7, tb_CadastroSetores[], 2, FALSE)</f>
        <v>Escritório</v>
      </c>
      <c r="E7">
        <v>115</v>
      </c>
      <c r="F7" s="1">
        <f>VLOOKUP(C7, tb_CadastroSetores[], 3, FALSE)</f>
        <v>0.6</v>
      </c>
      <c r="G7" s="1">
        <f t="shared" si="0"/>
        <v>69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Tarifas_e_Setores</vt:lpstr>
      <vt:lpstr>Resumo_Setores</vt:lpstr>
      <vt:lpstr>Leituras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Gabriella Guimarães</dc:creator>
  <cp:lastModifiedBy>Maria Gabriella Guimarães</cp:lastModifiedBy>
  <dcterms:created xsi:type="dcterms:W3CDTF">2026-08-20T19:36:44Z</dcterms:created>
  <dcterms:modified xsi:type="dcterms:W3CDTF">2026-08-21T01:10:38Z</dcterms:modified>
</cp:coreProperties>
</file>